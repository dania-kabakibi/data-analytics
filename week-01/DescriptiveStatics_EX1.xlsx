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a Kabakibi\Downloads\"/>
    </mc:Choice>
  </mc:AlternateContent>
  <bookViews>
    <workbookView xWindow="0" yWindow="0" windowWidth="19200" windowHeight="6930" activeTab="1"/>
  </bookViews>
  <sheets>
    <sheet name="Sales_Data" sheetId="1" r:id="rId1"/>
    <sheet name="Exercise" sheetId="2" r:id="rId2"/>
  </sheets>
  <calcPr calcId="162913"/>
  <pivotCaches>
    <pivotCache cacheId="6" r:id="rId3"/>
  </pivotCaches>
</workbook>
</file>

<file path=xl/calcChain.xml><?xml version="1.0" encoding="utf-8"?>
<calcChain xmlns="http://schemas.openxmlformats.org/spreadsheetml/2006/main">
  <c r="M16" i="1" l="1"/>
  <c r="M18" i="1"/>
  <c r="M17" i="1"/>
  <c r="M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<sst xmlns="http://schemas.openxmlformats.org/spreadsheetml/2006/main" count="147" uniqueCount="72">
  <si>
    <t>Order_ID</t>
  </si>
  <si>
    <t>Region</t>
  </si>
  <si>
    <t>Sales_Rep</t>
  </si>
  <si>
    <t>Product_Category</t>
  </si>
  <si>
    <t>Units_Sold</t>
  </si>
  <si>
    <t>Unit_Price</t>
  </si>
  <si>
    <t>Revenue</t>
  </si>
  <si>
    <t>Customer_Rating</t>
  </si>
  <si>
    <t>North</t>
  </si>
  <si>
    <t>Adams</t>
  </si>
  <si>
    <t>Electronics</t>
  </si>
  <si>
    <t>South</t>
  </si>
  <si>
    <t>Brown</t>
  </si>
  <si>
    <t>Furniture</t>
  </si>
  <si>
    <t>East</t>
  </si>
  <si>
    <t>Chen</t>
  </si>
  <si>
    <t>West</t>
  </si>
  <si>
    <t>Diaz</t>
  </si>
  <si>
    <t>Office Supplies</t>
  </si>
  <si>
    <t>Business Analytics Exercise: Descriptive Statistics</t>
  </si>
  <si>
    <t>Scenario:</t>
  </si>
  <si>
    <t>You are a junior data analyst working for a retail company that sells electronics,</t>
  </si>
  <si>
    <t>furniture, and office supplies. Management wants to better understand sales</t>
  </si>
  <si>
    <t>performance across regions, product categories, and sales representatives.</t>
  </si>
  <si>
    <t>Your task is to use descriptive statistics in Excel to analyze the dataset and</t>
  </si>
  <si>
    <t>provide insights that help management make business decisions.</t>
  </si>
  <si>
    <t>Part 1: Descriptive Statistics</t>
  </si>
  <si>
    <t>Calculate the following for the Revenue column:</t>
  </si>
  <si>
    <t>Average Revenue</t>
  </si>
  <si>
    <t>Median Revenue</t>
  </si>
  <si>
    <t>Minimum Revenue</t>
  </si>
  <si>
    <t>Maximum Revenue</t>
  </si>
  <si>
    <t>Range of Revenue</t>
  </si>
  <si>
    <t>Standard Deviation of Revenue</t>
  </si>
  <si>
    <t>Part 2: Business Scenarios</t>
  </si>
  <si>
    <t>Scenario A – Regional Performance</t>
  </si>
  <si>
    <t>Management wants to know which region generates the highest revenue.</t>
  </si>
  <si>
    <t>1. Calculate the average revenue by region.</t>
  </si>
  <si>
    <t>2. Which region performs the best?</t>
  </si>
  <si>
    <t>3. What recommendation would you give management?</t>
  </si>
  <si>
    <t>Scenario B – Product Category Insights</t>
  </si>
  <si>
    <t>The company wants to understand which product category generates the most revenue.</t>
  </si>
  <si>
    <t>1. Calculate the average revenue for each product category.</t>
  </si>
  <si>
    <t>2. Which category performs best?</t>
  </si>
  <si>
    <t>3. Which category appears weakest?</t>
  </si>
  <si>
    <t>Scenario C – Sales Representative Performance</t>
  </si>
  <si>
    <t>Managers want to evaluate sales representative performance.</t>
  </si>
  <si>
    <t>1. Calculate the total or average revenue generated by each sales representative.</t>
  </si>
  <si>
    <t>2. Which representative performs best?</t>
  </si>
  <si>
    <t>3. What factors might explain the differences?</t>
  </si>
  <si>
    <t>Scenario D – Customer Satisfaction</t>
  </si>
  <si>
    <t>Customer ratings represent satisfaction scores from 1 to 5.</t>
  </si>
  <si>
    <t>1. Calculate the average customer rating.</t>
  </si>
  <si>
    <t>2. Identify the minimum and maximum ratings.</t>
  </si>
  <si>
    <t>3. What might management infer about customer satisfaction?</t>
  </si>
  <si>
    <t>Part 3: Interpretation</t>
  </si>
  <si>
    <t>Write a short summary (4–6 sentences) explaining the key insights</t>
  </si>
  <si>
    <t>you discovered from the descriptive statistics.</t>
  </si>
  <si>
    <t>Row Labels</t>
  </si>
  <si>
    <t>Grand Total</t>
  </si>
  <si>
    <t>Sum of Revenue</t>
  </si>
  <si>
    <t>The average revenue by region</t>
  </si>
  <si>
    <t>Average of Revenue</t>
  </si>
  <si>
    <t>Anwers in Sales_Data</t>
  </si>
  <si>
    <t>The average revenue for each product category.</t>
  </si>
  <si>
    <t>The total revenue generated by each sales representative.</t>
  </si>
  <si>
    <t>Numbers of Unit sold</t>
  </si>
  <si>
    <t>The minimum ratings.</t>
  </si>
  <si>
    <t>The maximum ratings.</t>
  </si>
  <si>
    <t>Answers in Sales_Data</t>
  </si>
  <si>
    <t>It depends on Sales_Rep and Product_Category</t>
  </si>
  <si>
    <t>The average customer rating.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</si>
</sst>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0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45</xdr:row>
      <xdr:rowOff>171450</xdr:rowOff>
    </xdr:from>
    <xdr:to>
      <xdr:col>11</xdr:col>
      <xdr:colOff>431800</xdr:colOff>
      <xdr:row>53</xdr:row>
      <xdr:rowOff>50800</xdr:rowOff>
    </xdr:to>
    <xdr:sp macro="" textlink="">
      <xdr:nvSpPr>
        <xdr:cNvPr id="2" name="TextBox 1"/>
        <xdr:cNvSpPr txBox="1"/>
      </xdr:nvSpPr>
      <xdr:spPr>
        <a:xfrm>
          <a:off x="4362450" y="8458200"/>
          <a:ext cx="3714750" cy="1352550"/>
        </a:xfrm>
        <a:prstGeom prst="rect">
          <a:avLst/>
        </a:prstGeom>
        <a:ln/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The average provides a mathematical average of all data points, while the median identifies the middle value to offer a more accurate representation if outliers are present.</a:t>
          </a:r>
          <a:endParaRPr lang="en-US" sz="1100"/>
        </a:p>
        <a:p>
          <a:r>
            <a:rPr lang="en-US" sz="1100"/>
            <a:t>The standard deviation and range measure the data's spread, highlighting the level of consistency across all observations.</a:t>
          </a:r>
          <a:r>
            <a:rPr lang="en-US" sz="1100" baseline="0"/>
            <a:t> I</a:t>
          </a:r>
          <a:r>
            <a:rPr lang="en-US"/>
            <a:t>dentifying the minimum and maximum values helps pinpoint potential outliers that could influence the overall analysis.</a:t>
          </a:r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20.635570486113" createdVersion="6" refreshedVersion="6" minRefreshableVersion="3" recordCount="20">
  <cacheSource type="worksheet">
    <worksheetSource ref="A1:H21" sheet="Sales_Data"/>
  </cacheSource>
  <cacheFields count="8">
    <cacheField name="Order_ID" numFmtId="0">
      <sharedItems containsSemiMixedTypes="0" containsString="0" containsNumber="1" containsInteger="1" minValue="1001" maxValue="1020"/>
    </cacheField>
    <cacheField name="Region" numFmtId="0">
      <sharedItems count="4">
        <s v="North"/>
        <s v="South"/>
        <s v="East"/>
        <s v="West"/>
      </sharedItems>
    </cacheField>
    <cacheField name="Sales_Rep" numFmtId="0">
      <sharedItems count="4">
        <s v="Adams"/>
        <s v="Brown"/>
        <s v="Chen"/>
        <s v="Diaz"/>
      </sharedItems>
    </cacheField>
    <cacheField name="Product_Category" numFmtId="0">
      <sharedItems count="3">
        <s v="Electronics"/>
        <s v="Furniture"/>
        <s v="Office Supplies"/>
      </sharedItems>
    </cacheField>
    <cacheField name="Units_Sold" numFmtId="0">
      <sharedItems containsSemiMixedTypes="0" containsString="0" containsNumber="1" containsInteger="1" minValue="1" maxValue="30"/>
    </cacheField>
    <cacheField name="Unit_Price" numFmtId="0">
      <sharedItems containsSemiMixedTypes="0" containsString="0" containsNumber="1" containsInteger="1" minValue="21" maxValue="1200"/>
    </cacheField>
    <cacheField name="Revenue" numFmtId="0">
      <sharedItems containsSemiMixedTypes="0" containsString="0" containsNumber="1" containsInteger="1" minValue="330" maxValue="2700"/>
    </cacheField>
    <cacheField name="Customer_Rating" numFmtId="0">
      <sharedItems containsSemiMixedTypes="0" containsString="0" containsNumber="1" minValue="3.7" maxValue="4.90000000000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n v="1001"/>
    <x v="0"/>
    <x v="0"/>
    <x v="0"/>
    <n v="5"/>
    <n v="320"/>
    <n v="1600"/>
    <n v="4.5"/>
  </r>
  <r>
    <n v="1002"/>
    <x v="1"/>
    <x v="1"/>
    <x v="1"/>
    <n v="2"/>
    <n v="850"/>
    <n v="1700"/>
    <n v="4.2"/>
  </r>
  <r>
    <n v="1003"/>
    <x v="2"/>
    <x v="2"/>
    <x v="0"/>
    <n v="3"/>
    <n v="300"/>
    <n v="900"/>
    <n v="3.9"/>
  </r>
  <r>
    <n v="1004"/>
    <x v="3"/>
    <x v="3"/>
    <x v="2"/>
    <n v="20"/>
    <n v="25"/>
    <n v="500"/>
    <n v="4.7"/>
  </r>
  <r>
    <n v="1005"/>
    <x v="0"/>
    <x v="0"/>
    <x v="1"/>
    <n v="1"/>
    <n v="1200"/>
    <n v="1200"/>
    <n v="4.0999999999999996"/>
  </r>
  <r>
    <n v="1006"/>
    <x v="1"/>
    <x v="1"/>
    <x v="0"/>
    <n v="4"/>
    <n v="310"/>
    <n v="1240"/>
    <n v="3.8"/>
  </r>
  <r>
    <n v="1007"/>
    <x v="2"/>
    <x v="2"/>
    <x v="2"/>
    <n v="15"/>
    <n v="22"/>
    <n v="330"/>
    <n v="4.5999999999999996"/>
  </r>
  <r>
    <n v="1008"/>
    <x v="3"/>
    <x v="3"/>
    <x v="0"/>
    <n v="6"/>
    <n v="295"/>
    <n v="1770"/>
    <n v="4.4000000000000004"/>
  </r>
  <r>
    <n v="1009"/>
    <x v="0"/>
    <x v="0"/>
    <x v="2"/>
    <n v="18"/>
    <n v="24"/>
    <n v="432"/>
    <n v="4.8"/>
  </r>
  <r>
    <n v="1010"/>
    <x v="1"/>
    <x v="1"/>
    <x v="1"/>
    <n v="3"/>
    <n v="900"/>
    <n v="2700"/>
    <n v="4"/>
  </r>
  <r>
    <n v="1011"/>
    <x v="2"/>
    <x v="2"/>
    <x v="1"/>
    <n v="2"/>
    <n v="950"/>
    <n v="1900"/>
    <n v="4.3"/>
  </r>
  <r>
    <n v="1012"/>
    <x v="3"/>
    <x v="3"/>
    <x v="2"/>
    <n v="25"/>
    <n v="23"/>
    <n v="575"/>
    <n v="4.9000000000000004"/>
  </r>
  <r>
    <n v="1013"/>
    <x v="0"/>
    <x v="0"/>
    <x v="0"/>
    <n v="7"/>
    <n v="315"/>
    <n v="2205"/>
    <n v="4.2"/>
  </r>
  <r>
    <n v="1014"/>
    <x v="1"/>
    <x v="1"/>
    <x v="2"/>
    <n v="30"/>
    <n v="21"/>
    <n v="630"/>
    <n v="4.5999999999999996"/>
  </r>
  <r>
    <n v="1015"/>
    <x v="2"/>
    <x v="2"/>
    <x v="0"/>
    <n v="5"/>
    <n v="305"/>
    <n v="1525"/>
    <n v="4.0999999999999996"/>
  </r>
  <r>
    <n v="1016"/>
    <x v="3"/>
    <x v="3"/>
    <x v="1"/>
    <n v="2"/>
    <n v="980"/>
    <n v="1960"/>
    <n v="3.9"/>
  </r>
  <r>
    <n v="1017"/>
    <x v="0"/>
    <x v="0"/>
    <x v="2"/>
    <n v="22"/>
    <n v="24"/>
    <n v="528"/>
    <n v="4.7"/>
  </r>
  <r>
    <n v="1018"/>
    <x v="1"/>
    <x v="1"/>
    <x v="0"/>
    <n v="3"/>
    <n v="299"/>
    <n v="897"/>
    <n v="3.7"/>
  </r>
  <r>
    <n v="1019"/>
    <x v="2"/>
    <x v="2"/>
    <x v="2"/>
    <n v="19"/>
    <n v="23"/>
    <n v="437"/>
    <n v="4.5"/>
  </r>
  <r>
    <n v="1020"/>
    <x v="3"/>
    <x v="3"/>
    <x v="0"/>
    <n v="8"/>
    <n v="310"/>
    <n v="2480"/>
    <n v="4.40000000000000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8:K43" firstHeaderRow="1" firstDataRow="1" firstDataCol="1"/>
  <pivotFields count="8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31:K35" firstHeaderRow="1" firstDataRow="1" firstDataCol="1"/>
  <pivotFields count="8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evenue" fld="6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21:K26" firstHeaderRow="1" firstDataRow="1" firstDataCol="1"/>
  <pivotFields count="8"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workbookViewId="0">
      <selection activeCell="J12" sqref="J12"/>
    </sheetView>
  </sheetViews>
  <sheetFormatPr defaultRowHeight="14.5" x14ac:dyDescent="0.35"/>
  <cols>
    <col min="1" max="1" width="9" bestFit="1" customWidth="1"/>
    <col min="2" max="2" width="7.1796875" bestFit="1" customWidth="1"/>
    <col min="4" max="4" width="16.81640625" bestFit="1" customWidth="1"/>
    <col min="5" max="5" width="10.453125" bestFit="1" customWidth="1"/>
    <col min="6" max="6" width="10.1796875" bestFit="1" customWidth="1"/>
    <col min="7" max="7" width="8.81640625" bestFit="1" customWidth="1"/>
    <col min="8" max="8" width="16.26953125" bestFit="1" customWidth="1"/>
    <col min="16" max="16" width="13.1796875" bestFit="1" customWidth="1"/>
  </cols>
  <sheetData>
    <row r="1" spans="1:17" ht="24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7" x14ac:dyDescent="0.35">
      <c r="A2" s="1">
        <v>1001</v>
      </c>
      <c r="B2" t="s">
        <v>8</v>
      </c>
      <c r="C2" t="s">
        <v>9</v>
      </c>
      <c r="D2" t="s">
        <v>10</v>
      </c>
      <c r="E2" s="1">
        <v>5</v>
      </c>
      <c r="F2">
        <v>320</v>
      </c>
      <c r="G2">
        <v>1600</v>
      </c>
      <c r="H2" s="1">
        <v>4.5</v>
      </c>
    </row>
    <row r="3" spans="1:17" x14ac:dyDescent="0.35">
      <c r="A3" s="1">
        <v>1002</v>
      </c>
      <c r="B3" t="s">
        <v>11</v>
      </c>
      <c r="C3" t="s">
        <v>12</v>
      </c>
      <c r="D3" t="s">
        <v>13</v>
      </c>
      <c r="E3" s="1">
        <v>2</v>
      </c>
      <c r="F3">
        <v>850</v>
      </c>
      <c r="G3">
        <v>1700</v>
      </c>
      <c r="H3" s="1">
        <v>4.2</v>
      </c>
      <c r="J3" t="s">
        <v>28</v>
      </c>
      <c r="L3" s="6">
        <f>AVERAGE(G2:G21)</f>
        <v>1275.45</v>
      </c>
    </row>
    <row r="4" spans="1:17" x14ac:dyDescent="0.35">
      <c r="A4" s="1">
        <v>1003</v>
      </c>
      <c r="B4" t="s">
        <v>14</v>
      </c>
      <c r="C4" t="s">
        <v>15</v>
      </c>
      <c r="D4" t="s">
        <v>10</v>
      </c>
      <c r="E4" s="1">
        <v>3</v>
      </c>
      <c r="F4">
        <v>300</v>
      </c>
      <c r="G4">
        <v>900</v>
      </c>
      <c r="H4" s="1">
        <v>3.9</v>
      </c>
      <c r="J4" t="s">
        <v>29</v>
      </c>
      <c r="L4" s="6">
        <f>MEDIAN(G2:G21)</f>
        <v>1220</v>
      </c>
    </row>
    <row r="5" spans="1:17" x14ac:dyDescent="0.35">
      <c r="A5" s="1">
        <v>1004</v>
      </c>
      <c r="B5" t="s">
        <v>16</v>
      </c>
      <c r="C5" t="s">
        <v>17</v>
      </c>
      <c r="D5" t="s">
        <v>18</v>
      </c>
      <c r="E5" s="1">
        <v>20</v>
      </c>
      <c r="F5">
        <v>25</v>
      </c>
      <c r="G5">
        <v>500</v>
      </c>
      <c r="H5" s="1">
        <v>4.7</v>
      </c>
      <c r="J5" t="s">
        <v>30</v>
      </c>
      <c r="L5" s="6">
        <f>MIN(G2:G21)</f>
        <v>330</v>
      </c>
    </row>
    <row r="6" spans="1:17" x14ac:dyDescent="0.35">
      <c r="A6" s="1">
        <v>1005</v>
      </c>
      <c r="B6" t="s">
        <v>8</v>
      </c>
      <c r="C6" t="s">
        <v>9</v>
      </c>
      <c r="D6" t="s">
        <v>13</v>
      </c>
      <c r="E6" s="1">
        <v>1</v>
      </c>
      <c r="F6">
        <v>1200</v>
      </c>
      <c r="G6">
        <v>1200</v>
      </c>
      <c r="H6" s="1">
        <v>4.0999999999999996</v>
      </c>
      <c r="J6" t="s">
        <v>31</v>
      </c>
      <c r="L6" s="6">
        <f>MAX(G2:G21)</f>
        <v>2700</v>
      </c>
    </row>
    <row r="7" spans="1:17" x14ac:dyDescent="0.35">
      <c r="A7" s="1">
        <v>1006</v>
      </c>
      <c r="B7" t="s">
        <v>11</v>
      </c>
      <c r="C7" t="s">
        <v>12</v>
      </c>
      <c r="D7" t="s">
        <v>10</v>
      </c>
      <c r="E7" s="1">
        <v>4</v>
      </c>
      <c r="F7">
        <v>310</v>
      </c>
      <c r="G7">
        <v>1240</v>
      </c>
      <c r="H7" s="1">
        <v>3.8</v>
      </c>
      <c r="J7" t="s">
        <v>32</v>
      </c>
      <c r="L7" s="6">
        <f>MAX(G2:G21)-MIN(G2:G21)</f>
        <v>2370</v>
      </c>
    </row>
    <row r="8" spans="1:17" x14ac:dyDescent="0.35">
      <c r="A8" s="1">
        <v>1007</v>
      </c>
      <c r="B8" t="s">
        <v>14</v>
      </c>
      <c r="C8" t="s">
        <v>15</v>
      </c>
      <c r="D8" t="s">
        <v>18</v>
      </c>
      <c r="E8" s="1">
        <v>15</v>
      </c>
      <c r="F8">
        <v>22</v>
      </c>
      <c r="G8">
        <v>330</v>
      </c>
      <c r="H8" s="1">
        <v>4.5999999999999996</v>
      </c>
      <c r="J8" t="s">
        <v>33</v>
      </c>
      <c r="M8" s="6">
        <f>_xlfn.STDEV.S(G2:G21)</f>
        <v>742.04932982567732</v>
      </c>
    </row>
    <row r="9" spans="1:17" x14ac:dyDescent="0.35">
      <c r="A9" s="1">
        <v>1008</v>
      </c>
      <c r="B9" t="s">
        <v>16</v>
      </c>
      <c r="C9" t="s">
        <v>17</v>
      </c>
      <c r="D9" t="s">
        <v>10</v>
      </c>
      <c r="E9" s="1">
        <v>6</v>
      </c>
      <c r="F9">
        <v>295</v>
      </c>
      <c r="G9">
        <v>1770</v>
      </c>
      <c r="H9" s="1">
        <v>4.4000000000000004</v>
      </c>
    </row>
    <row r="10" spans="1:17" x14ac:dyDescent="0.35">
      <c r="A10" s="1">
        <v>1009</v>
      </c>
      <c r="B10" t="s">
        <v>8</v>
      </c>
      <c r="C10" t="s">
        <v>9</v>
      </c>
      <c r="D10" t="s">
        <v>18</v>
      </c>
      <c r="E10" s="1">
        <v>18</v>
      </c>
      <c r="F10">
        <v>24</v>
      </c>
      <c r="G10">
        <v>432</v>
      </c>
      <c r="H10" s="1">
        <v>4.8</v>
      </c>
    </row>
    <row r="11" spans="1:17" x14ac:dyDescent="0.35">
      <c r="A11" s="1">
        <v>1010</v>
      </c>
      <c r="B11" t="s">
        <v>11</v>
      </c>
      <c r="C11" t="s">
        <v>12</v>
      </c>
      <c r="D11" t="s">
        <v>13</v>
      </c>
      <c r="E11" s="1">
        <v>3</v>
      </c>
      <c r="F11">
        <v>900</v>
      </c>
      <c r="G11">
        <v>2700</v>
      </c>
      <c r="H11" s="1">
        <v>4</v>
      </c>
      <c r="P11" s="9"/>
      <c r="Q11" s="9"/>
    </row>
    <row r="12" spans="1:17" x14ac:dyDescent="0.35">
      <c r="A12" s="1">
        <v>1011</v>
      </c>
      <c r="B12" t="s">
        <v>14</v>
      </c>
      <c r="C12" t="s">
        <v>15</v>
      </c>
      <c r="D12" t="s">
        <v>13</v>
      </c>
      <c r="E12" s="1">
        <v>2</v>
      </c>
      <c r="F12">
        <v>950</v>
      </c>
      <c r="G12">
        <v>1900</v>
      </c>
      <c r="H12" s="1">
        <v>4.3</v>
      </c>
      <c r="P12" s="9"/>
      <c r="Q12" s="9"/>
    </row>
    <row r="13" spans="1:17" x14ac:dyDescent="0.35">
      <c r="A13" s="1">
        <v>1012</v>
      </c>
      <c r="B13" t="s">
        <v>16</v>
      </c>
      <c r="C13" t="s">
        <v>17</v>
      </c>
      <c r="D13" t="s">
        <v>18</v>
      </c>
      <c r="E13" s="1">
        <v>25</v>
      </c>
      <c r="F13">
        <v>23</v>
      </c>
      <c r="G13">
        <v>575</v>
      </c>
      <c r="H13" s="1">
        <v>4.9000000000000004</v>
      </c>
      <c r="P13" s="9"/>
      <c r="Q13" s="9"/>
    </row>
    <row r="14" spans="1:17" x14ac:dyDescent="0.35">
      <c r="A14" s="1">
        <v>1013</v>
      </c>
      <c r="B14" t="s">
        <v>8</v>
      </c>
      <c r="C14" t="s">
        <v>9</v>
      </c>
      <c r="D14" t="s">
        <v>10</v>
      </c>
      <c r="E14" s="1">
        <v>7</v>
      </c>
      <c r="F14">
        <v>315</v>
      </c>
      <c r="G14">
        <v>2205</v>
      </c>
      <c r="H14" s="1">
        <v>4.2</v>
      </c>
    </row>
    <row r="15" spans="1:17" x14ac:dyDescent="0.35">
      <c r="A15" s="1">
        <v>1014</v>
      </c>
      <c r="B15" t="s">
        <v>11</v>
      </c>
      <c r="C15" t="s">
        <v>12</v>
      </c>
      <c r="D15" t="s">
        <v>18</v>
      </c>
      <c r="E15" s="1">
        <v>30</v>
      </c>
      <c r="F15">
        <v>21</v>
      </c>
      <c r="G15">
        <v>630</v>
      </c>
      <c r="H15" s="1">
        <v>4.5999999999999996</v>
      </c>
    </row>
    <row r="16" spans="1:17" x14ac:dyDescent="0.35">
      <c r="A16" s="1">
        <v>1015</v>
      </c>
      <c r="B16" t="s">
        <v>14</v>
      </c>
      <c r="C16" t="s">
        <v>15</v>
      </c>
      <c r="D16" t="s">
        <v>10</v>
      </c>
      <c r="E16" s="1">
        <v>5</v>
      </c>
      <c r="F16">
        <v>305</v>
      </c>
      <c r="G16">
        <v>1525</v>
      </c>
      <c r="H16" s="1">
        <v>4.0999999999999996</v>
      </c>
      <c r="J16" t="s">
        <v>71</v>
      </c>
      <c r="M16" s="6">
        <f>AVERAGE(H2:H21)</f>
        <v>4.3150000000000004</v>
      </c>
      <c r="N16" s="9"/>
    </row>
    <row r="17" spans="1:13" x14ac:dyDescent="0.35">
      <c r="A17" s="1">
        <v>1016</v>
      </c>
      <c r="B17" t="s">
        <v>16</v>
      </c>
      <c r="C17" t="s">
        <v>17</v>
      </c>
      <c r="D17" t="s">
        <v>13</v>
      </c>
      <c r="E17" s="1">
        <v>2</v>
      </c>
      <c r="F17">
        <v>980</v>
      </c>
      <c r="G17">
        <v>1960</v>
      </c>
      <c r="H17" s="1">
        <v>3.9</v>
      </c>
      <c r="J17" t="s">
        <v>67</v>
      </c>
      <c r="M17" s="6">
        <f>MIN(H2:H21)</f>
        <v>3.7</v>
      </c>
    </row>
    <row r="18" spans="1:13" x14ac:dyDescent="0.35">
      <c r="A18" s="1">
        <v>1017</v>
      </c>
      <c r="B18" t="s">
        <v>8</v>
      </c>
      <c r="C18" t="s">
        <v>9</v>
      </c>
      <c r="D18" t="s">
        <v>18</v>
      </c>
      <c r="E18" s="1">
        <v>22</v>
      </c>
      <c r="F18">
        <v>24</v>
      </c>
      <c r="G18">
        <v>528</v>
      </c>
      <c r="H18" s="1">
        <v>4.7</v>
      </c>
      <c r="J18" t="s">
        <v>68</v>
      </c>
      <c r="M18" s="6">
        <f>MAX(H2:H21)</f>
        <v>4.9000000000000004</v>
      </c>
    </row>
    <row r="19" spans="1:13" x14ac:dyDescent="0.35">
      <c r="A19" s="1">
        <v>1018</v>
      </c>
      <c r="B19" t="s">
        <v>11</v>
      </c>
      <c r="C19" t="s">
        <v>12</v>
      </c>
      <c r="D19" t="s">
        <v>10</v>
      </c>
      <c r="E19" s="1">
        <v>3</v>
      </c>
      <c r="F19">
        <v>299</v>
      </c>
      <c r="G19">
        <v>897</v>
      </c>
      <c r="H19" s="1">
        <v>3.7</v>
      </c>
    </row>
    <row r="20" spans="1:13" x14ac:dyDescent="0.35">
      <c r="A20" s="1">
        <v>1019</v>
      </c>
      <c r="B20" t="s">
        <v>14</v>
      </c>
      <c r="C20" t="s">
        <v>15</v>
      </c>
      <c r="D20" t="s">
        <v>18</v>
      </c>
      <c r="E20" s="1">
        <v>19</v>
      </c>
      <c r="F20">
        <v>23</v>
      </c>
      <c r="G20">
        <v>437</v>
      </c>
      <c r="H20" s="1">
        <v>4.5</v>
      </c>
    </row>
    <row r="21" spans="1:13" x14ac:dyDescent="0.35">
      <c r="A21" s="1">
        <v>1020</v>
      </c>
      <c r="B21" t="s">
        <v>16</v>
      </c>
      <c r="C21" t="s">
        <v>17</v>
      </c>
      <c r="D21" t="s">
        <v>10</v>
      </c>
      <c r="E21" s="1">
        <v>8</v>
      </c>
      <c r="F21">
        <v>310</v>
      </c>
      <c r="G21">
        <v>2480</v>
      </c>
      <c r="H21" s="1">
        <v>4.4000000000000004</v>
      </c>
    </row>
  </sheetData>
  <sortState ref="A2:H21">
    <sortCondition ref="A2:A2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tabSelected="1" workbookViewId="0">
      <selection activeCell="M45" sqref="M45"/>
    </sheetView>
  </sheetViews>
  <sheetFormatPr defaultRowHeight="14.5" x14ac:dyDescent="0.35"/>
  <cols>
    <col min="7" max="7" width="9.7265625" bestFit="1" customWidth="1"/>
    <col min="10" max="10" width="12.36328125" bestFit="1" customWidth="1"/>
    <col min="11" max="11" width="17.54296875" bestFit="1" customWidth="1"/>
  </cols>
  <sheetData>
    <row r="1" spans="1:6" x14ac:dyDescent="0.35">
      <c r="A1" t="s">
        <v>19</v>
      </c>
    </row>
    <row r="3" spans="1:6" x14ac:dyDescent="0.35">
      <c r="A3" t="s">
        <v>20</v>
      </c>
    </row>
    <row r="4" spans="1:6" x14ac:dyDescent="0.35">
      <c r="A4" t="s">
        <v>21</v>
      </c>
    </row>
    <row r="5" spans="1:6" x14ac:dyDescent="0.35">
      <c r="A5" t="s">
        <v>22</v>
      </c>
    </row>
    <row r="6" spans="1:6" x14ac:dyDescent="0.35">
      <c r="A6" t="s">
        <v>23</v>
      </c>
    </row>
    <row r="8" spans="1:6" x14ac:dyDescent="0.35">
      <c r="A8" t="s">
        <v>24</v>
      </c>
    </row>
    <row r="9" spans="1:6" x14ac:dyDescent="0.35">
      <c r="A9" t="s">
        <v>25</v>
      </c>
    </row>
    <row r="11" spans="1:6" x14ac:dyDescent="0.35">
      <c r="A11" t="s">
        <v>26</v>
      </c>
    </row>
    <row r="12" spans="1:6" x14ac:dyDescent="0.35">
      <c r="A12" t="s">
        <v>27</v>
      </c>
    </row>
    <row r="13" spans="1:6" x14ac:dyDescent="0.35">
      <c r="A13" t="s">
        <v>28</v>
      </c>
    </row>
    <row r="14" spans="1:6" x14ac:dyDescent="0.35">
      <c r="A14" t="s">
        <v>29</v>
      </c>
    </row>
    <row r="15" spans="1:6" x14ac:dyDescent="0.35">
      <c r="A15" t="s">
        <v>30</v>
      </c>
      <c r="D15" s="7" t="s">
        <v>63</v>
      </c>
      <c r="E15" s="7"/>
      <c r="F15" s="7"/>
    </row>
    <row r="16" spans="1:6" x14ac:dyDescent="0.35">
      <c r="A16" t="s">
        <v>31</v>
      </c>
      <c r="D16" s="7"/>
      <c r="E16" s="7"/>
      <c r="F16" s="7"/>
    </row>
    <row r="17" spans="1:13" x14ac:dyDescent="0.35">
      <c r="A17" t="s">
        <v>32</v>
      </c>
    </row>
    <row r="18" spans="1:13" x14ac:dyDescent="0.35">
      <c r="A18" t="s">
        <v>33</v>
      </c>
    </row>
    <row r="20" spans="1:13" x14ac:dyDescent="0.35">
      <c r="A20" t="s">
        <v>34</v>
      </c>
      <c r="J20" s="6" t="s">
        <v>61</v>
      </c>
      <c r="K20" s="6"/>
    </row>
    <row r="21" spans="1:13" x14ac:dyDescent="0.35">
      <c r="J21" s="3" t="s">
        <v>58</v>
      </c>
      <c r="K21" t="s">
        <v>60</v>
      </c>
    </row>
    <row r="22" spans="1:13" x14ac:dyDescent="0.35">
      <c r="A22" t="s">
        <v>35</v>
      </c>
      <c r="J22" s="4" t="s">
        <v>14</v>
      </c>
      <c r="K22" s="5">
        <v>5092</v>
      </c>
    </row>
    <row r="23" spans="1:13" x14ac:dyDescent="0.35">
      <c r="A23" t="s">
        <v>36</v>
      </c>
      <c r="J23" s="4" t="s">
        <v>8</v>
      </c>
      <c r="K23" s="5">
        <v>5965</v>
      </c>
    </row>
    <row r="24" spans="1:13" x14ac:dyDescent="0.35">
      <c r="A24" t="s">
        <v>37</v>
      </c>
      <c r="J24" s="4" t="s">
        <v>11</v>
      </c>
      <c r="K24" s="5">
        <v>7167</v>
      </c>
    </row>
    <row r="25" spans="1:13" x14ac:dyDescent="0.35">
      <c r="A25" t="s">
        <v>38</v>
      </c>
      <c r="E25" s="6" t="s">
        <v>16</v>
      </c>
      <c r="J25" s="4" t="s">
        <v>16</v>
      </c>
      <c r="K25" s="5">
        <v>7285</v>
      </c>
    </row>
    <row r="26" spans="1:13" x14ac:dyDescent="0.35">
      <c r="A26" t="s">
        <v>39</v>
      </c>
      <c r="J26" s="4" t="s">
        <v>59</v>
      </c>
      <c r="K26" s="5">
        <v>25509</v>
      </c>
    </row>
    <row r="28" spans="1:13" x14ac:dyDescent="0.35">
      <c r="A28" t="s">
        <v>40</v>
      </c>
    </row>
    <row r="29" spans="1:13" x14ac:dyDescent="0.35">
      <c r="A29" t="s">
        <v>41</v>
      </c>
    </row>
    <row r="30" spans="1:13" x14ac:dyDescent="0.35">
      <c r="A30" t="s">
        <v>42</v>
      </c>
      <c r="J30" s="6" t="s">
        <v>64</v>
      </c>
      <c r="K30" s="6"/>
      <c r="L30" s="6"/>
      <c r="M30" s="6"/>
    </row>
    <row r="31" spans="1:13" x14ac:dyDescent="0.35">
      <c r="A31" t="s">
        <v>43</v>
      </c>
      <c r="E31" s="6" t="s">
        <v>13</v>
      </c>
      <c r="J31" s="3" t="s">
        <v>58</v>
      </c>
      <c r="K31" t="s">
        <v>62</v>
      </c>
    </row>
    <row r="32" spans="1:13" x14ac:dyDescent="0.35">
      <c r="A32" t="s">
        <v>44</v>
      </c>
      <c r="E32" s="6" t="s">
        <v>18</v>
      </c>
      <c r="F32" s="6"/>
      <c r="J32" s="4" t="s">
        <v>10</v>
      </c>
      <c r="K32" s="5">
        <v>1577.125</v>
      </c>
    </row>
    <row r="33" spans="1:13" x14ac:dyDescent="0.35">
      <c r="J33" s="4" t="s">
        <v>13</v>
      </c>
      <c r="K33" s="5">
        <v>1892</v>
      </c>
    </row>
    <row r="34" spans="1:13" x14ac:dyDescent="0.35">
      <c r="A34" t="s">
        <v>45</v>
      </c>
      <c r="J34" s="4" t="s">
        <v>18</v>
      </c>
      <c r="K34" s="5">
        <v>490.28571428571428</v>
      </c>
    </row>
    <row r="35" spans="1:13" x14ac:dyDescent="0.35">
      <c r="A35" t="s">
        <v>46</v>
      </c>
      <c r="J35" s="4" t="s">
        <v>59</v>
      </c>
      <c r="K35" s="5">
        <v>1275.45</v>
      </c>
    </row>
    <row r="36" spans="1:13" x14ac:dyDescent="0.35">
      <c r="A36" t="s">
        <v>47</v>
      </c>
    </row>
    <row r="37" spans="1:13" x14ac:dyDescent="0.35">
      <c r="A37" t="s">
        <v>48</v>
      </c>
      <c r="E37" s="6" t="s">
        <v>17</v>
      </c>
      <c r="J37" s="8" t="s">
        <v>65</v>
      </c>
      <c r="K37" s="6"/>
      <c r="L37" s="6"/>
      <c r="M37" s="6"/>
    </row>
    <row r="38" spans="1:13" x14ac:dyDescent="0.35">
      <c r="A38" t="s">
        <v>49</v>
      </c>
      <c r="F38" s="6" t="s">
        <v>66</v>
      </c>
      <c r="G38" s="6"/>
      <c r="J38" s="3" t="s">
        <v>58</v>
      </c>
      <c r="K38" t="s">
        <v>60</v>
      </c>
    </row>
    <row r="39" spans="1:13" x14ac:dyDescent="0.35">
      <c r="J39" s="4" t="s">
        <v>9</v>
      </c>
      <c r="K39" s="5">
        <v>5965</v>
      </c>
    </row>
    <row r="40" spans="1:13" x14ac:dyDescent="0.35">
      <c r="A40" t="s">
        <v>50</v>
      </c>
      <c r="J40" s="4" t="s">
        <v>12</v>
      </c>
      <c r="K40" s="5">
        <v>7167</v>
      </c>
    </row>
    <row r="41" spans="1:13" x14ac:dyDescent="0.35">
      <c r="A41" t="s">
        <v>51</v>
      </c>
      <c r="J41" s="4" t="s">
        <v>15</v>
      </c>
      <c r="K41" s="5">
        <v>5092</v>
      </c>
    </row>
    <row r="42" spans="1:13" x14ac:dyDescent="0.35">
      <c r="A42" t="s">
        <v>52</v>
      </c>
      <c r="E42" s="6">
        <v>4.3150000000000004</v>
      </c>
      <c r="J42" s="4" t="s">
        <v>17</v>
      </c>
      <c r="K42" s="5">
        <v>7285</v>
      </c>
    </row>
    <row r="43" spans="1:13" x14ac:dyDescent="0.35">
      <c r="A43" t="s">
        <v>53</v>
      </c>
      <c r="F43" s="6" t="s">
        <v>69</v>
      </c>
      <c r="G43" s="6"/>
      <c r="J43" s="4" t="s">
        <v>59</v>
      </c>
      <c r="K43" s="5">
        <v>25509</v>
      </c>
    </row>
    <row r="44" spans="1:13" x14ac:dyDescent="0.35">
      <c r="A44" t="s">
        <v>54</v>
      </c>
      <c r="G44" s="6" t="s">
        <v>70</v>
      </c>
      <c r="H44" s="6"/>
      <c r="I44" s="6"/>
      <c r="J44" s="6"/>
    </row>
    <row r="46" spans="1:13" x14ac:dyDescent="0.35">
      <c r="A46" t="s">
        <v>55</v>
      </c>
    </row>
    <row r="47" spans="1:13" x14ac:dyDescent="0.35">
      <c r="A47" t="s">
        <v>56</v>
      </c>
    </row>
    <row r="48" spans="1:13" x14ac:dyDescent="0.35">
      <c r="A48" t="s">
        <v>57</v>
      </c>
    </row>
  </sheetData>
  <mergeCells count="1">
    <mergeCell ref="D15:F16"/>
  </mergeCells>
  <pageMargins left="0.75" right="0.75" top="1" bottom="1" header="0.5" footer="0.5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Exercise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Dania</cp:lastModifiedBy>
  <dcterms:created xsi:type="dcterms:W3CDTF">2026-04-07T19:25:39Z</dcterms:created>
  <dcterms:modified xsi:type="dcterms:W3CDTF">2026-04-08T20:08:58Z</dcterms:modified>
</cp:coreProperties>
</file>