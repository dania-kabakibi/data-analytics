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nia Kabakibi\Downloads\"/>
    </mc:Choice>
  </mc:AlternateContent>
  <bookViews>
    <workbookView xWindow="0" yWindow="0" windowWidth="19200" windowHeight="6930"/>
  </bookViews>
  <sheets>
    <sheet name="Survey_responses" sheetId="1" r:id="rId1"/>
    <sheet name="PivotChart" sheetId="2" r:id="rId2"/>
    <sheet name="Formatting_responses" sheetId="3" r:id="rId3"/>
  </sheets>
  <calcPr calcId="162913"/>
  <pivotCaches>
    <pivotCache cacheId="9" r:id="rId4"/>
    <pivotCache cacheId="18" r:id="rId5"/>
    <pivotCache cacheId="23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1" l="1"/>
  <c r="K9" i="1"/>
  <c r="K8" i="1"/>
  <c r="I8" i="1"/>
  <c r="D2" i="1"/>
  <c r="D3" i="1"/>
  <c r="D4" i="1"/>
  <c r="D5" i="1"/>
  <c r="D6" i="1"/>
  <c r="D7" i="1"/>
  <c r="D8" i="1" l="1"/>
</calcChain>
</file>

<file path=xl/sharedStrings.xml><?xml version="1.0" encoding="utf-8"?>
<sst xmlns="http://schemas.openxmlformats.org/spreadsheetml/2006/main" count="129" uniqueCount="57">
  <si>
    <t>ID</t>
  </si>
  <si>
    <t>Start time</t>
  </si>
  <si>
    <t>Completion time</t>
  </si>
  <si>
    <t>Email</t>
  </si>
  <si>
    <t>Name</t>
  </si>
  <si>
    <t>Last modified time</t>
  </si>
  <si>
    <t xml:space="preserve">How often do you visit Slap Burger?
</t>
  </si>
  <si>
    <t xml:space="preserve">How would you rate your most recent visit?
</t>
  </si>
  <si>
    <t xml:space="preserve">What is your favorite item/items on the menu?
</t>
  </si>
  <si>
    <t xml:space="preserve">How important is a rewards program to you?
</t>
  </si>
  <si>
    <t>What type of rewards would you prefer?</t>
  </si>
  <si>
    <t xml:space="preserve">How do you usually hear about promotions?
</t>
  </si>
  <si>
    <t>Would you like to receive offers and updates?</t>
  </si>
  <si>
    <t>Please enter your email address</t>
  </si>
  <si>
    <t>anonymous</t>
  </si>
  <si>
    <t>Seasonal</t>
  </si>
  <si>
    <t>Loaded Beef Fries &amp; Cheese;Slap Shakes (Chocolate, Vanilla, Strawberry);Chicken Sandwich;</t>
  </si>
  <si>
    <t>Neutral</t>
  </si>
  <si>
    <t>Discounts;Points system;</t>
  </si>
  <si>
    <t>Social media;Friends/family;</t>
  </si>
  <si>
    <t>No</t>
  </si>
  <si>
    <t>2–3 times a month</t>
  </si>
  <si>
    <t>Chicken Sandwich;</t>
  </si>
  <si>
    <t>Important</t>
  </si>
  <si>
    <t>Free food (burger, fries, etc.);</t>
  </si>
  <si>
    <t>Email;In-store;</t>
  </si>
  <si>
    <t>First time</t>
  </si>
  <si>
    <t>Slap'n Melt;Slap Shakes (Chocolate, Vanilla, Strawberry);</t>
  </si>
  <si>
    <t>Points system;</t>
  </si>
  <si>
    <t>Social media;Email;</t>
  </si>
  <si>
    <t>Yes (please enter email below)</t>
  </si>
  <si>
    <t>mblack@my.yearupunited.org</t>
  </si>
  <si>
    <t>Chicken Sandwich;Loaded Chicken Mac &amp; Cheese;Slap'n Tender;Loaded Chicken Fries;Slap Shakes (Chocolate, Vanilla, Strawberry);</t>
  </si>
  <si>
    <t>Free food (burger, fries, etc.);Discounts;Points system;Birthday rewards;Exclusive deals;</t>
  </si>
  <si>
    <t>ktyler@my.yearupunited.org</t>
  </si>
  <si>
    <t>Once a month</t>
  </si>
  <si>
    <t>Loaded Chicken Fries;Loaded Chicken Mac &amp; Cheese;Slap'n Melt;</t>
  </si>
  <si>
    <t>Discounts;Exclusive deals;Birthday rewards;</t>
  </si>
  <si>
    <t>mtariq@my.yearupunited.org</t>
  </si>
  <si>
    <t>Waffle'n Tenders;Loaded Chicken Fries;Slap Shakes (Chocolate, Vanilla, Strawberry);</t>
  </si>
  <si>
    <t>Birthday rewards;Discounts;</t>
  </si>
  <si>
    <t>Time to complete</t>
  </si>
  <si>
    <t>Row Labels</t>
  </si>
  <si>
    <t>Grand Total</t>
  </si>
  <si>
    <t xml:space="preserve">Count of How often do you visit Slap Burger?
</t>
  </si>
  <si>
    <t>Count of Would you like to receive offers and updates?</t>
  </si>
  <si>
    <t>Count of What type of rewards would you prefer?</t>
  </si>
  <si>
    <t>How do you usually hear about promotions?</t>
  </si>
  <si>
    <t>Social media</t>
  </si>
  <si>
    <t>Friends/family</t>
  </si>
  <si>
    <t>In-store</t>
  </si>
  <si>
    <t>Count of How do you usually hear about promotions?</t>
  </si>
  <si>
    <t>Discounts</t>
  </si>
  <si>
    <t>Points system</t>
  </si>
  <si>
    <t>Free food (burger, fries, etc.)</t>
  </si>
  <si>
    <t>Birthday rewards</t>
  </si>
  <si>
    <t>Exclusive deals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</si>
</sst>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\ h:mm:ss"/>
    <numFmt numFmtId="165" formatCode="mm/dd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0" fillId="0" borderId="0" xfId="0" applyNumberFormat="1"/>
    <xf numFmtId="0" fontId="1" fillId="2" borderId="1" xfId="0" applyNumberFormat="1" applyFont="1" applyFill="1" applyBorder="1"/>
    <xf numFmtId="0" fontId="0" fillId="3" borderId="1" xfId="0" applyNumberFormat="1" applyFont="1" applyFill="1" applyBorder="1"/>
    <xf numFmtId="0" fontId="0" fillId="0" borderId="1" xfId="0" applyNumberFormat="1" applyFont="1" applyBorder="1"/>
    <xf numFmtId="165" fontId="0" fillId="0" borderId="0" xfId="0" applyNumberFormat="1"/>
    <xf numFmtId="45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4" xfId="0" applyNumberFormat="1" applyFont="1" applyBorder="1"/>
    <xf numFmtId="0" fontId="0" fillId="0" borderId="3" xfId="0" applyBorder="1"/>
    <xf numFmtId="0" fontId="0" fillId="0" borderId="5" xfId="0" applyBorder="1"/>
    <xf numFmtId="0" fontId="0" fillId="3" borderId="0" xfId="0" applyNumberFormat="1" applyFont="1" applyFill="1" applyBorder="1"/>
    <xf numFmtId="0" fontId="0" fillId="0" borderId="2" xfId="0" applyNumberFormat="1" applyFont="1" applyBorder="1"/>
    <xf numFmtId="0" fontId="0" fillId="0" borderId="3" xfId="0" applyNumberFormat="1" applyFont="1" applyBorder="1"/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65" formatCode="mm/dd/yyyy\ hh:mm:ss"/>
    </dxf>
    <dxf>
      <numFmt numFmtId="165" formatCode="mm/dd/yyyy\ hh:mm:ss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28" formatCode="mm:ss"/>
    </dxf>
    <dxf>
      <numFmt numFmtId="165" formatCode="mm/dd/yyyy\ hh:mm:ss"/>
    </dxf>
    <dxf>
      <numFmt numFmtId="165" formatCode="mm/dd/yyyy\ 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[Slap Burger Customer Feedback &amp; Rewards Survey(1-6).xlsx]PivotChart!PivotTable1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often do you visit Slap Burger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PivotChart!$B$1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PivotChart!$A$2:$A$6</c:f>
              <c:strCache>
                <c:ptCount val="4"/>
                <c:pt idx="0">
                  <c:v>2–3 times a month</c:v>
                </c:pt>
                <c:pt idx="1">
                  <c:v>First time</c:v>
                </c:pt>
                <c:pt idx="2">
                  <c:v>Once a month</c:v>
                </c:pt>
                <c:pt idx="3">
                  <c:v>Seasonal</c:v>
                </c:pt>
              </c:strCache>
            </c:strRef>
          </c:cat>
          <c:val>
            <c:numRef>
              <c:f>PivotChart!$B$2:$B$6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D5-4C5D-807C-F608A714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[Slap Burger Customer Feedback &amp; Rewards Survey(1-6).xlsx]Formatting_responses!PivotTable5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How do you usually hear about promotions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Formatting_responses!$C$15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Formatting_responses!$B$16:$B$20</c:f>
              <c:strCache>
                <c:ptCount val="4"/>
                <c:pt idx="0">
                  <c:v>Email</c:v>
                </c:pt>
                <c:pt idx="1">
                  <c:v>Friends/family</c:v>
                </c:pt>
                <c:pt idx="2">
                  <c:v>In-store</c:v>
                </c:pt>
                <c:pt idx="3">
                  <c:v>Social media</c:v>
                </c:pt>
              </c:strCache>
            </c:strRef>
          </c:cat>
          <c:val>
            <c:numRef>
              <c:f>Formatting_responses!$C$16:$C$20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1-4214-90BD-1BAB2C5521E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[Slap Burger Customer Feedback &amp; Rewards Survey(1-6).xlsx]Formatting_responses!PivotTable6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What type of rewards would you prefer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Formatting_responses!$F$18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Formatting_responses!$E$19:$E$24</c:f>
              <c:strCache>
                <c:ptCount val="5"/>
                <c:pt idx="0">
                  <c:v>Birthday rewards</c:v>
                </c:pt>
                <c:pt idx="1">
                  <c:v>Discounts</c:v>
                </c:pt>
                <c:pt idx="2">
                  <c:v>Exclusive deals</c:v>
                </c:pt>
                <c:pt idx="3">
                  <c:v>Free food (burger, fries, etc.)</c:v>
                </c:pt>
                <c:pt idx="4">
                  <c:v>Points system</c:v>
                </c:pt>
              </c:strCache>
            </c:strRef>
          </c:cat>
          <c:val>
            <c:numRef>
              <c:f>Formatting_responses!$F$19:$F$24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8A-414A-9C2E-9FD93ADE932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146050</xdr:colOff>
      <xdr:row>0</xdr:row>
      <xdr:rowOff>95250</xdr:rowOff>
    </xdr:from>
    <xdr:to>
      <xdr:col>8</xdr:col>
      <xdr:colOff>311150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44302</xdr:colOff>
      <xdr:row>21</xdr:row>
      <xdr:rowOff>14251</xdr:rowOff>
    </xdr:from>
    <xdr:to>
      <xdr:col>2</xdr:col>
      <xdr:colOff>3211696</xdr:colOff>
      <xdr:row>35</xdr:row>
      <xdr:rowOff>179793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118140</xdr:colOff>
      <xdr:row>25</xdr:row>
      <xdr:rowOff>20230</xdr:rowOff>
    </xdr:from>
    <xdr:to>
      <xdr:col>5</xdr:col>
      <xdr:colOff>2873752</xdr:colOff>
      <xdr:row>39</xdr:row>
      <xdr:rowOff>179128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nia" refreshedDate="46122.891978819447" createdVersion="6" refreshedVersion="6" minRefreshableVersion="3" recordCount="6">
  <cacheSource type="worksheet">
    <worksheetSource name="Table1"/>
  </cacheSource>
  <cacheFields count="17">
    <cacheField name="ID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Start time" numFmtId="165">
      <sharedItems containsSemiMixedTypes="0" containsNonDate="0" containsDate="1" containsString="0" minDate="2026-04-09T09:54:15" maxDate="2026-04-10T11:48:15"/>
    </cacheField>
    <cacheField name="Completion time" numFmtId="165">
      <sharedItems containsSemiMixedTypes="0" containsNonDate="0" containsDate="1" containsString="0" minDate="2026-04-09T09:55:36" maxDate="2026-04-10T11:51:57"/>
    </cacheField>
    <cacheField name="Time to complete" numFmtId="45">
      <sharedItems containsSemiMixedTypes="0" containsNonDate="0" containsDate="1" containsString="0" minDate="1899-12-30T00:00:38" maxDate="1899-12-30T00:03:42" count="6">
        <d v="1899-12-30T00:01:21"/>
        <d v="1899-12-30T00:00:43"/>
        <d v="1899-12-30T00:00:38"/>
        <d v="1899-12-30T00:00:52"/>
        <d v="1899-12-30T00:01:47"/>
        <d v="1899-12-30T00:03:42"/>
      </sharedItems>
      <fieldGroup par="16" base="3">
        <rangePr groupBy="seconds" startDate="1899-12-30T00:00:38" endDate="1899-12-30T00:03:42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Email" numFmtId="0">
      <sharedItems/>
    </cacheField>
    <cacheField name="Name" numFmtId="0">
      <sharedItems containsNonDate="0" containsString="0" containsBlank="1"/>
    </cacheField>
    <cacheField name="Last modified time" numFmtId="164">
      <sharedItems containsNonDate="0" containsString="0" containsBlank="1"/>
    </cacheField>
    <cacheField name="How often do you visit Slap Burger?_x000a_" numFmtId="0">
      <sharedItems count="4">
        <s v="Seasonal"/>
        <s v="2–3 times a month"/>
        <s v="First time"/>
        <s v="Once a month"/>
      </sharedItems>
    </cacheField>
    <cacheField name="How would you rate your most recent visit?_x000a_" numFmtId="0">
      <sharedItems containsSemiMixedTypes="0" containsString="0" containsNumber="1" containsInteger="1" minValue="4" maxValue="5"/>
    </cacheField>
    <cacheField name="What is your favorite item/items on the menu?_x000a_" numFmtId="0">
      <sharedItems count="6">
        <s v="Loaded Beef Fries &amp; Cheese;Slap Shakes (Chocolate, Vanilla, Strawberry);Chicken Sandwich;"/>
        <s v="Chicken Sandwich;"/>
        <s v="Slap'n Melt;Slap Shakes (Chocolate, Vanilla, Strawberry);"/>
        <s v="Chicken Sandwich;Loaded Chicken Mac &amp; Cheese;Slap'n Tender;Loaded Chicken Fries;Slap Shakes (Chocolate, Vanilla, Strawberry);"/>
        <s v="Loaded Chicken Fries;Loaded Chicken Mac &amp; Cheese;Slap'n Melt;"/>
        <s v="Waffle'n Tenders;Loaded Chicken Fries;Slap Shakes (Chocolate, Vanilla, Strawberry);"/>
      </sharedItems>
    </cacheField>
    <cacheField name="How important is a rewards program to you?_x000a_" numFmtId="0">
      <sharedItems count="2">
        <s v="Neutral"/>
        <s v="Important"/>
      </sharedItems>
    </cacheField>
    <cacheField name="What type of rewards would you prefer?" numFmtId="0">
      <sharedItems count="6">
        <s v="Discounts;Points system;"/>
        <s v="Free food (burger, fries, etc.);"/>
        <s v="Points system;"/>
        <s v="Free food (burger, fries, etc.);Discounts;Points system;Birthday rewards;Exclusive deals;"/>
        <s v="Discounts;Exclusive deals;Birthday rewards;"/>
        <s v="Birthday rewards;Discounts;"/>
      </sharedItems>
    </cacheField>
    <cacheField name="How do you usually hear about promotions?_x000a_" numFmtId="49">
      <sharedItems/>
    </cacheField>
    <cacheField name="Would you like to receive offers and updates?" numFmtId="0">
      <sharedItems count="2">
        <s v="No"/>
        <s v="Yes (please enter email below)"/>
      </sharedItems>
    </cacheField>
    <cacheField name="Please enter your email address" numFmtId="0">
      <sharedItems containsBlank="1"/>
    </cacheField>
    <cacheField name="Minutes" numFmtId="0" databaseField="0">
      <fieldGroup base="3">
        <rangePr groupBy="minutes" startDate="1899-12-30T00:00:38" endDate="1899-12-30T00:03:42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" numFmtId="0" databaseField="0">
      <fieldGroup base="3">
        <rangePr groupBy="hours" startDate="1899-12-30T00:00:38" endDate="1899-12-30T00:03:42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ania" refreshedDate="46122.909333333337" createdVersion="6" refreshedVersion="6" minRefreshableVersion="3" recordCount="12">
  <cacheSource type="worksheet">
    <worksheetSource ref="B1:B13" sheet="Formatting_responses"/>
  </cacheSource>
  <cacheFields count="1">
    <cacheField name="How do you usually hear about promotions?" numFmtId="0">
      <sharedItems count="4">
        <s v="Social media"/>
        <s v="Email"/>
        <s v="Friends/family"/>
        <s v="In-sto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Dania" refreshedDate="46122.923775694442" createdVersion="6" refreshedVersion="6" minRefreshableVersion="3" recordCount="14">
  <cacheSource type="worksheet">
    <worksheetSource ref="E1:E15" sheet="Formatting_responses"/>
  </cacheSource>
  <cacheFields count="1">
    <cacheField name="What type of rewards would you prefer?" numFmtId="0">
      <sharedItems count="5">
        <s v="Discounts"/>
        <s v="Free food (burger, fries, etc.)"/>
        <s v="Points system"/>
        <s v="Birthday rewards"/>
        <s v="Exclusive deal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d v="2026-04-09T09:54:15"/>
    <d v="2026-04-09T09:55:36"/>
    <x v="0"/>
    <s v="anonymous"/>
    <m/>
    <m/>
    <x v="0"/>
    <n v="4"/>
    <x v="0"/>
    <x v="0"/>
    <x v="0"/>
    <s v="Social media;Friends/family;"/>
    <x v="0"/>
    <m/>
  </r>
  <r>
    <x v="1"/>
    <d v="2026-04-09T10:04:27"/>
    <d v="2026-04-09T10:05:10"/>
    <x v="1"/>
    <s v="anonymous"/>
    <m/>
    <m/>
    <x v="1"/>
    <n v="4"/>
    <x v="1"/>
    <x v="1"/>
    <x v="1"/>
    <s v="Email;In-store;"/>
    <x v="0"/>
    <m/>
  </r>
  <r>
    <x v="2"/>
    <d v="2026-04-09T11:51:57"/>
    <d v="2026-04-09T11:52:35"/>
    <x v="2"/>
    <s v="anonymous"/>
    <m/>
    <m/>
    <x v="2"/>
    <n v="5"/>
    <x v="2"/>
    <x v="0"/>
    <x v="2"/>
    <s v="Social media;Email;"/>
    <x v="1"/>
    <s v="mblack@my.yearupunited.org"/>
  </r>
  <r>
    <x v="3"/>
    <d v="2026-04-10T01:01:48"/>
    <d v="2026-04-10T01:02:40"/>
    <x v="3"/>
    <s v="anonymous"/>
    <m/>
    <m/>
    <x v="2"/>
    <n v="5"/>
    <x v="3"/>
    <x v="1"/>
    <x v="3"/>
    <s v="Social media;Email;"/>
    <x v="1"/>
    <s v="ktyler@my.yearupunited.org"/>
  </r>
  <r>
    <x v="4"/>
    <d v="2026-04-10T02:52:26"/>
    <d v="2026-04-10T02:54:13"/>
    <x v="4"/>
    <s v="anonymous"/>
    <m/>
    <m/>
    <x v="3"/>
    <n v="5"/>
    <x v="4"/>
    <x v="1"/>
    <x v="4"/>
    <s v="Social media;Email;"/>
    <x v="1"/>
    <s v="mtariq@my.yearupunited.org"/>
  </r>
  <r>
    <x v="5"/>
    <d v="2026-04-10T11:48:15"/>
    <d v="2026-04-10T11:51:57"/>
    <x v="5"/>
    <s v="anonymous"/>
    <m/>
    <m/>
    <x v="1"/>
    <n v="5"/>
    <x v="5"/>
    <x v="0"/>
    <x v="5"/>
    <s v="Social media;Friends/family;"/>
    <x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">
  <r>
    <x v="0"/>
  </r>
  <r>
    <x v="1"/>
  </r>
  <r>
    <x v="0"/>
  </r>
  <r>
    <x v="0"/>
  </r>
  <r>
    <x v="0"/>
  </r>
  <r>
    <x v="0"/>
  </r>
  <r>
    <x v="2"/>
  </r>
  <r>
    <x v="3"/>
  </r>
  <r>
    <x v="1"/>
  </r>
  <r>
    <x v="1"/>
  </r>
  <r>
    <x v="1"/>
  </r>
  <r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4">
  <r>
    <x v="0"/>
  </r>
  <r>
    <x v="1"/>
  </r>
  <r>
    <x v="2"/>
  </r>
  <r>
    <x v="1"/>
  </r>
  <r>
    <x v="0"/>
  </r>
  <r>
    <x v="3"/>
  </r>
  <r>
    <x v="2"/>
  </r>
  <r>
    <x v="0"/>
  </r>
  <r>
    <x v="4"/>
  </r>
  <r>
    <x v="0"/>
  </r>
  <r>
    <x v="2"/>
  </r>
  <r>
    <x v="3"/>
  </r>
  <r>
    <x v="3"/>
  </r>
  <r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1:B24" firstHeaderRow="1" firstDataRow="1" firstDataCol="1"/>
  <pivotFields count="17">
    <pivotField showAll="0"/>
    <pivotField numFmtId="165" showAll="0"/>
    <pivotField numFmtId="165" showAll="0"/>
    <pivotField numFmtId="45" showAll="0"/>
    <pivotField showAll="0"/>
    <pivotField showAll="0"/>
    <pivotField showAll="0"/>
    <pivotField showAll="0"/>
    <pivotField showAll="0"/>
    <pivotField showAll="0">
      <items count="7">
        <item x="1"/>
        <item x="3"/>
        <item x="0"/>
        <item x="4"/>
        <item x="2"/>
        <item x="5"/>
        <item t="default"/>
      </items>
    </pivotField>
    <pivotField showAll="0"/>
    <pivotField showAll="0">
      <items count="7">
        <item x="5"/>
        <item x="4"/>
        <item x="0"/>
        <item x="1"/>
        <item x="3"/>
        <item x="2"/>
        <item t="default"/>
      </items>
    </pivotField>
    <pivotField showAll="0"/>
    <pivotField axis="axisRow" dataField="1" showAll="0">
      <items count="3">
        <item x="0"/>
        <item x="1"/>
        <item t="default"/>
      </items>
    </pivotField>
    <pivotField showAll="0"/>
    <pivotField showAll="0" defaultSubtotal="0"/>
    <pivotField showAll="0" defaultSubtota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Would you like to receive offers and updates?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6" firstHeaderRow="1" firstDataRow="1" firstDataCol="1"/>
  <pivotFields count="17">
    <pivotField showAll="0"/>
    <pivotField numFmtId="165" showAll="0"/>
    <pivotField numFmtId="165" showAll="0"/>
    <pivotField numFmtId="45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/>
    <pivotField axis="axisRow" dataField="1" showAll="0">
      <items count="5">
        <item x="1"/>
        <item x="2"/>
        <item x="3"/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How often do you visit Slap Burger?_x000a_" fld="7" subtotal="count" baseField="0" baseItem="0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E18:F24" firstHeaderRow="1" firstDataRow="1" firstDataCol="1"/>
  <pivotFields count="1">
    <pivotField axis="axisRow" dataField="1" showAll="0">
      <items count="6">
        <item x="3"/>
        <item x="0"/>
        <item x="4"/>
        <item x="1"/>
        <item x="2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What type of rewards would you prefer?" fld="0" subtotal="count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B15:C20" firstHeaderRow="1" firstDataRow="1" firstDataCol="1"/>
  <pivotFields count="1">
    <pivotField axis="axisRow" dataField="1" showAll="0">
      <items count="5">
        <item x="1"/>
        <item x="2"/>
        <item x="3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How do you usually hear about promotions?" fld="0" subtotal="count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O8" totalsRowCount="1">
  <autoFilter ref="A1:O8"/>
  <tableColumns count="15">
    <tableColumn id="1" name="ID" dataDxfId="21" totalsRowDxfId="14"/>
    <tableColumn id="2" name="Start time" dataDxfId="20" totalsRowDxfId="13"/>
    <tableColumn id="3" name="Completion time" dataDxfId="19" totalsRowDxfId="12"/>
    <tableColumn id="15" name="Time to complete" totalsRowFunction="custom" dataDxfId="18" totalsRowDxfId="11">
      <calculatedColumnFormula>C2-B2</calculatedColumnFormula>
      <totalsRowFormula>AVERAGE(D2:D7)</totalsRowFormula>
    </tableColumn>
    <tableColumn id="4" name="Email" dataDxfId="29" totalsRowDxfId="10"/>
    <tableColumn id="5" name="Name" dataDxfId="28" totalsRowDxfId="9"/>
    <tableColumn id="6" name="Last modified time" dataDxfId="27" totalsRowDxfId="8"/>
    <tableColumn id="7" name="How often do you visit Slap Burger?_x000a_" dataDxfId="26" totalsRowDxfId="7"/>
    <tableColumn id="8" name="How would you rate your most recent visit?_x000a_" totalsRowFunction="custom" dataDxfId="25" totalsRowDxfId="6">
      <totalsRowFormula>AVERAGE(I2:I7)</totalsRowFormula>
    </tableColumn>
    <tableColumn id="9" name="What is your favorite item/items on the menu?_x000a_" dataDxfId="24" totalsRowDxfId="5"/>
    <tableColumn id="10" name="How important is a rewards program to you?_x000a_" totalsRowFunction="custom" dataDxfId="23" totalsRowDxfId="4">
      <totalsRowFormula>COUNTIF(K2:K7, "Neutral")</totalsRowFormula>
    </tableColumn>
    <tableColumn id="11" name="What type of rewards would you prefer?" dataDxfId="17" totalsRowDxfId="3"/>
    <tableColumn id="12" name="How do you usually hear about promotions?_x000a_" dataDxfId="15" totalsRowDxfId="2"/>
    <tableColumn id="13" name="Would you like to receive offers and updates?" dataDxfId="16" totalsRowDxfId="1"/>
    <tableColumn id="14" name="Please enter your email address" dataDxfId="22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abSelected="1" workbookViewId="0">
      <selection activeCell="A9" sqref="A9"/>
    </sheetView>
  </sheetViews>
  <sheetFormatPr defaultRowHeight="14.5" x14ac:dyDescent="0.35"/>
  <cols>
    <col min="1" max="1" width="20" bestFit="1" customWidth="1"/>
    <col min="2" max="2" width="20" style="8" bestFit="1" customWidth="1"/>
    <col min="3" max="3" width="20" bestFit="1" customWidth="1"/>
    <col min="4" max="4" width="20" style="9" customWidth="1"/>
    <col min="5" max="7" width="20" bestFit="1" customWidth="1"/>
    <col min="8" max="8" width="33.08984375" bestFit="1" customWidth="1"/>
    <col min="9" max="9" width="40.1796875" bestFit="1" customWidth="1"/>
    <col min="10" max="10" width="110.7265625" bestFit="1" customWidth="1"/>
    <col min="11" max="11" width="41.36328125" bestFit="1" customWidth="1"/>
    <col min="12" max="12" width="74.7265625" bestFit="1" customWidth="1"/>
    <col min="13" max="13" width="40.90625" bestFit="1" customWidth="1"/>
    <col min="14" max="14" width="42" bestFit="1" customWidth="1"/>
    <col min="15" max="15" width="30.08984375" bestFit="1" customWidth="1"/>
  </cols>
  <sheetData>
    <row r="1" spans="1:15" x14ac:dyDescent="0.35">
      <c r="A1" s="4" t="s">
        <v>0</v>
      </c>
      <c r="B1" s="8" t="s">
        <v>1</v>
      </c>
      <c r="C1" s="4" t="s">
        <v>2</v>
      </c>
      <c r="D1" s="9" t="s">
        <v>41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spans="1:15" x14ac:dyDescent="0.35">
      <c r="A2">
        <v>1</v>
      </c>
      <c r="B2" s="8">
        <v>46121.412673611099</v>
      </c>
      <c r="C2" s="8">
        <v>46121.4136111111</v>
      </c>
      <c r="D2" s="9">
        <f t="shared" ref="D2:D7" si="0">C2-B2</f>
        <v>9.3750000087311491E-4</v>
      </c>
      <c r="E2" s="4" t="s">
        <v>14</v>
      </c>
      <c r="F2" s="4"/>
      <c r="G2" s="1"/>
      <c r="H2" s="4" t="s">
        <v>15</v>
      </c>
      <c r="I2">
        <v>4</v>
      </c>
      <c r="J2" s="4" t="s">
        <v>16</v>
      </c>
      <c r="K2" s="4" t="s">
        <v>17</v>
      </c>
      <c r="L2" s="4" t="s">
        <v>18</v>
      </c>
      <c r="M2" s="3" t="s">
        <v>19</v>
      </c>
      <c r="N2" s="4" t="s">
        <v>20</v>
      </c>
      <c r="O2" s="4"/>
    </row>
    <row r="3" spans="1:15" x14ac:dyDescent="0.35">
      <c r="A3">
        <v>2</v>
      </c>
      <c r="B3" s="8">
        <v>46121.4197569444</v>
      </c>
      <c r="C3" s="8">
        <v>46121.4202546296</v>
      </c>
      <c r="D3" s="9">
        <f t="shared" si="0"/>
        <v>4.9768519966164604E-4</v>
      </c>
      <c r="E3" s="4" t="s">
        <v>14</v>
      </c>
      <c r="F3" s="4"/>
      <c r="G3" s="1"/>
      <c r="H3" s="4" t="s">
        <v>21</v>
      </c>
      <c r="I3">
        <v>4</v>
      </c>
      <c r="J3" s="4" t="s">
        <v>22</v>
      </c>
      <c r="K3" s="4" t="s">
        <v>23</v>
      </c>
      <c r="L3" s="4" t="s">
        <v>24</v>
      </c>
      <c r="M3" s="3" t="s">
        <v>25</v>
      </c>
      <c r="N3" s="4" t="s">
        <v>20</v>
      </c>
      <c r="O3" s="4"/>
    </row>
    <row r="4" spans="1:15" x14ac:dyDescent="0.35">
      <c r="A4">
        <v>3</v>
      </c>
      <c r="B4" s="8">
        <v>46121.494409722203</v>
      </c>
      <c r="C4" s="8">
        <v>46121.494849536997</v>
      </c>
      <c r="D4" s="9">
        <f t="shared" si="0"/>
        <v>4.3981479393551126E-4</v>
      </c>
      <c r="E4" s="4" t="s">
        <v>14</v>
      </c>
      <c r="F4" s="4"/>
      <c r="G4" s="1"/>
      <c r="H4" s="4" t="s">
        <v>26</v>
      </c>
      <c r="I4">
        <v>5</v>
      </c>
      <c r="J4" s="4" t="s">
        <v>27</v>
      </c>
      <c r="K4" s="4" t="s">
        <v>17</v>
      </c>
      <c r="L4" s="4" t="s">
        <v>28</v>
      </c>
      <c r="M4" s="3" t="s">
        <v>29</v>
      </c>
      <c r="N4" s="4" t="s">
        <v>30</v>
      </c>
      <c r="O4" s="4" t="s">
        <v>31</v>
      </c>
    </row>
    <row r="5" spans="1:15" x14ac:dyDescent="0.35">
      <c r="A5">
        <v>4</v>
      </c>
      <c r="B5" s="8">
        <v>46122.042916666702</v>
      </c>
      <c r="C5" s="8">
        <v>46122.043518518498</v>
      </c>
      <c r="D5" s="9">
        <f t="shared" si="0"/>
        <v>6.0185179609106854E-4</v>
      </c>
      <c r="E5" s="4" t="s">
        <v>14</v>
      </c>
      <c r="F5" s="4"/>
      <c r="G5" s="1"/>
      <c r="H5" s="4" t="s">
        <v>26</v>
      </c>
      <c r="I5">
        <v>5</v>
      </c>
      <c r="J5" s="4" t="s">
        <v>32</v>
      </c>
      <c r="K5" s="4" t="s">
        <v>23</v>
      </c>
      <c r="L5" s="4" t="s">
        <v>33</v>
      </c>
      <c r="M5" s="3" t="s">
        <v>29</v>
      </c>
      <c r="N5" s="4" t="s">
        <v>30</v>
      </c>
      <c r="O5" s="4" t="s">
        <v>34</v>
      </c>
    </row>
    <row r="6" spans="1:15" x14ac:dyDescent="0.35">
      <c r="A6">
        <v>5</v>
      </c>
      <c r="B6" s="8">
        <v>46122.119745370401</v>
      </c>
      <c r="C6" s="8">
        <v>46122.120983796303</v>
      </c>
      <c r="D6" s="9">
        <f t="shared" si="0"/>
        <v>1.238425902556628E-3</v>
      </c>
      <c r="E6" s="4" t="s">
        <v>14</v>
      </c>
      <c r="F6" s="4"/>
      <c r="G6" s="1"/>
      <c r="H6" s="4" t="s">
        <v>35</v>
      </c>
      <c r="I6">
        <v>5</v>
      </c>
      <c r="J6" s="4" t="s">
        <v>36</v>
      </c>
      <c r="K6" s="4" t="s">
        <v>23</v>
      </c>
      <c r="L6" s="4" t="s">
        <v>37</v>
      </c>
      <c r="M6" s="3" t="s">
        <v>29</v>
      </c>
      <c r="N6" s="4" t="s">
        <v>30</v>
      </c>
      <c r="O6" s="4" t="s">
        <v>38</v>
      </c>
    </row>
    <row r="7" spans="1:15" x14ac:dyDescent="0.35">
      <c r="A7">
        <v>6</v>
      </c>
      <c r="B7" s="8">
        <v>46122.491840277798</v>
      </c>
      <c r="C7" s="8">
        <v>46122.494409722203</v>
      </c>
      <c r="D7" s="9">
        <f t="shared" si="0"/>
        <v>2.5694444047985598E-3</v>
      </c>
      <c r="E7" s="4" t="s">
        <v>14</v>
      </c>
      <c r="F7" s="4"/>
      <c r="G7" s="1"/>
      <c r="H7" s="4" t="s">
        <v>21</v>
      </c>
      <c r="I7">
        <v>5</v>
      </c>
      <c r="J7" s="4" t="s">
        <v>39</v>
      </c>
      <c r="K7" s="4" t="s">
        <v>17</v>
      </c>
      <c r="L7" s="4" t="s">
        <v>40</v>
      </c>
      <c r="M7" s="3" t="s">
        <v>19</v>
      </c>
      <c r="N7" s="4" t="s">
        <v>20</v>
      </c>
      <c r="O7" s="4"/>
    </row>
    <row r="8" spans="1:15" x14ac:dyDescent="0.35">
      <c r="A8" s="4"/>
      <c r="C8" s="8"/>
      <c r="D8" s="9">
        <f>AVERAGE(D2:D7)</f>
        <v>1.0474536829860881E-3</v>
      </c>
      <c r="E8" s="4"/>
      <c r="F8" s="4"/>
      <c r="G8" s="2"/>
      <c r="H8" s="4"/>
      <c r="I8" s="10">
        <f>AVERAGE(I2:I7)</f>
        <v>4.666666666666667</v>
      </c>
      <c r="J8" s="4"/>
      <c r="K8" s="4">
        <f>COUNTIF(K2:K7, "Neutral")</f>
        <v>3</v>
      </c>
      <c r="L8" s="4"/>
      <c r="M8" s="4"/>
      <c r="N8" s="4"/>
      <c r="O8" s="4"/>
    </row>
    <row r="9" spans="1:15" x14ac:dyDescent="0.35">
      <c r="K9">
        <f>COUNTIF(K2:K7, "Important")</f>
        <v>3</v>
      </c>
    </row>
    <row r="10" spans="1:15" x14ac:dyDescent="0.35">
      <c r="K10">
        <f>SUM(COUNTIF(K2:K7, "Neutral"), COUNTIF(K2:K7, "Important"))</f>
        <v>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F19" sqref="F19"/>
    </sheetView>
  </sheetViews>
  <sheetFormatPr defaultRowHeight="14.5" x14ac:dyDescent="0.35"/>
  <cols>
    <col min="1" max="1" width="26.54296875" customWidth="1"/>
    <col min="2" max="2" width="47.6328125" customWidth="1"/>
  </cols>
  <sheetData>
    <row r="1" spans="1:2" x14ac:dyDescent="0.35">
      <c r="A1" s="11" t="s">
        <v>42</v>
      </c>
      <c r="B1" t="s">
        <v>44</v>
      </c>
    </row>
    <row r="2" spans="1:2" x14ac:dyDescent="0.35">
      <c r="A2" s="12" t="s">
        <v>21</v>
      </c>
      <c r="B2" s="4">
        <v>2</v>
      </c>
    </row>
    <row r="3" spans="1:2" x14ac:dyDescent="0.35">
      <c r="A3" s="12" t="s">
        <v>26</v>
      </c>
      <c r="B3" s="4">
        <v>2</v>
      </c>
    </row>
    <row r="4" spans="1:2" x14ac:dyDescent="0.35">
      <c r="A4" s="12" t="s">
        <v>35</v>
      </c>
      <c r="B4" s="4">
        <v>1</v>
      </c>
    </row>
    <row r="5" spans="1:2" x14ac:dyDescent="0.35">
      <c r="A5" s="12" t="s">
        <v>15</v>
      </c>
      <c r="B5" s="4">
        <v>1</v>
      </c>
    </row>
    <row r="6" spans="1:2" x14ac:dyDescent="0.35">
      <c r="A6" s="12" t="s">
        <v>43</v>
      </c>
      <c r="B6" s="4">
        <v>6</v>
      </c>
    </row>
    <row r="21" spans="1:2" x14ac:dyDescent="0.35">
      <c r="A21" s="11" t="s">
        <v>42</v>
      </c>
      <c r="B21" t="s">
        <v>45</v>
      </c>
    </row>
    <row r="22" spans="1:2" x14ac:dyDescent="0.35">
      <c r="A22" s="12" t="s">
        <v>20</v>
      </c>
      <c r="B22" s="4">
        <v>3</v>
      </c>
    </row>
    <row r="23" spans="1:2" x14ac:dyDescent="0.35">
      <c r="A23" s="12" t="s">
        <v>30</v>
      </c>
      <c r="B23" s="4">
        <v>3</v>
      </c>
    </row>
    <row r="24" spans="1:2" x14ac:dyDescent="0.35">
      <c r="A24" s="12" t="s">
        <v>43</v>
      </c>
      <c r="B24" s="4">
        <v>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4"/>
  <sheetViews>
    <sheetView zoomScale="93" workbookViewId="0">
      <selection activeCell="G33" sqref="G33"/>
    </sheetView>
  </sheetViews>
  <sheetFormatPr defaultRowHeight="14.5" x14ac:dyDescent="0.35"/>
  <cols>
    <col min="2" max="2" width="12.90625" customWidth="1"/>
    <col min="3" max="3" width="46.54296875" bestFit="1" customWidth="1"/>
    <col min="5" max="5" width="24.81640625" customWidth="1"/>
    <col min="6" max="6" width="43.26953125" bestFit="1" customWidth="1"/>
    <col min="7" max="8" width="15.1796875" bestFit="1" customWidth="1"/>
    <col min="9" max="9" width="13.1796875" bestFit="1" customWidth="1"/>
  </cols>
  <sheetData>
    <row r="1" spans="2:9" x14ac:dyDescent="0.35">
      <c r="B1" s="5" t="s">
        <v>47</v>
      </c>
      <c r="C1" s="5"/>
      <c r="E1" s="5" t="s">
        <v>10</v>
      </c>
      <c r="F1" s="5"/>
      <c r="G1" s="5"/>
      <c r="H1" s="5"/>
      <c r="I1" s="5"/>
    </row>
    <row r="2" spans="2:9" x14ac:dyDescent="0.35">
      <c r="B2" s="6" t="s">
        <v>48</v>
      </c>
      <c r="C2" t="s">
        <v>49</v>
      </c>
      <c r="E2" s="6" t="s">
        <v>52</v>
      </c>
      <c r="F2" t="s">
        <v>53</v>
      </c>
    </row>
    <row r="3" spans="2:9" x14ac:dyDescent="0.35">
      <c r="B3" s="7" t="s">
        <v>3</v>
      </c>
      <c r="C3" t="s">
        <v>50</v>
      </c>
      <c r="E3" s="7" t="s">
        <v>54</v>
      </c>
    </row>
    <row r="4" spans="2:9" x14ac:dyDescent="0.35">
      <c r="B4" s="6" t="s">
        <v>48</v>
      </c>
      <c r="C4" t="s">
        <v>3</v>
      </c>
      <c r="E4" s="6" t="s">
        <v>53</v>
      </c>
    </row>
    <row r="5" spans="2:9" x14ac:dyDescent="0.35">
      <c r="B5" s="7" t="s">
        <v>48</v>
      </c>
      <c r="C5" t="s">
        <v>3</v>
      </c>
      <c r="E5" s="17" t="s">
        <v>54</v>
      </c>
      <c r="F5" t="s">
        <v>52</v>
      </c>
      <c r="G5" t="s">
        <v>53</v>
      </c>
      <c r="H5" t="s">
        <v>55</v>
      </c>
      <c r="I5" t="s">
        <v>56</v>
      </c>
    </row>
    <row r="6" spans="2:9" x14ac:dyDescent="0.35">
      <c r="B6" s="6" t="s">
        <v>48</v>
      </c>
      <c r="C6" t="s">
        <v>3</v>
      </c>
      <c r="E6" s="16" t="s">
        <v>52</v>
      </c>
      <c r="F6" t="s">
        <v>56</v>
      </c>
      <c r="G6" t="s">
        <v>55</v>
      </c>
    </row>
    <row r="7" spans="2:9" x14ac:dyDescent="0.35">
      <c r="B7" s="13" t="s">
        <v>48</v>
      </c>
      <c r="C7" t="s">
        <v>49</v>
      </c>
      <c r="E7" s="18" t="s">
        <v>55</v>
      </c>
      <c r="F7" t="s">
        <v>52</v>
      </c>
    </row>
    <row r="8" spans="2:9" x14ac:dyDescent="0.35">
      <c r="B8" t="s">
        <v>49</v>
      </c>
      <c r="E8" t="s">
        <v>53</v>
      </c>
    </row>
    <row r="9" spans="2:9" x14ac:dyDescent="0.35">
      <c r="B9" t="s">
        <v>50</v>
      </c>
      <c r="E9" t="s">
        <v>52</v>
      </c>
    </row>
    <row r="10" spans="2:9" x14ac:dyDescent="0.35">
      <c r="B10" t="s">
        <v>3</v>
      </c>
      <c r="E10" t="s">
        <v>56</v>
      </c>
    </row>
    <row r="11" spans="2:9" x14ac:dyDescent="0.35">
      <c r="B11" t="s">
        <v>3</v>
      </c>
      <c r="E11" s="14" t="s">
        <v>52</v>
      </c>
    </row>
    <row r="12" spans="2:9" x14ac:dyDescent="0.35">
      <c r="B12" t="s">
        <v>3</v>
      </c>
      <c r="E12" t="s">
        <v>53</v>
      </c>
    </row>
    <row r="13" spans="2:9" x14ac:dyDescent="0.35">
      <c r="B13" t="s">
        <v>49</v>
      </c>
      <c r="E13" s="14" t="s">
        <v>55</v>
      </c>
    </row>
    <row r="14" spans="2:9" x14ac:dyDescent="0.35">
      <c r="E14" s="15" t="s">
        <v>55</v>
      </c>
    </row>
    <row r="15" spans="2:9" x14ac:dyDescent="0.35">
      <c r="B15" s="11" t="s">
        <v>42</v>
      </c>
      <c r="C15" t="s">
        <v>51</v>
      </c>
      <c r="E15" s="15" t="s">
        <v>56</v>
      </c>
    </row>
    <row r="16" spans="2:9" x14ac:dyDescent="0.35">
      <c r="B16" s="12" t="s">
        <v>3</v>
      </c>
      <c r="C16" s="4">
        <v>4</v>
      </c>
    </row>
    <row r="17" spans="2:6" x14ac:dyDescent="0.35">
      <c r="B17" s="12" t="s">
        <v>49</v>
      </c>
      <c r="C17" s="4">
        <v>2</v>
      </c>
    </row>
    <row r="18" spans="2:6" x14ac:dyDescent="0.35">
      <c r="B18" s="12" t="s">
        <v>50</v>
      </c>
      <c r="C18" s="4">
        <v>1</v>
      </c>
      <c r="E18" s="11" t="s">
        <v>42</v>
      </c>
      <c r="F18" t="s">
        <v>46</v>
      </c>
    </row>
    <row r="19" spans="2:6" x14ac:dyDescent="0.35">
      <c r="B19" s="12" t="s">
        <v>48</v>
      </c>
      <c r="C19" s="4">
        <v>5</v>
      </c>
      <c r="E19" s="12" t="s">
        <v>55</v>
      </c>
      <c r="F19" s="4">
        <v>3</v>
      </c>
    </row>
    <row r="20" spans="2:6" x14ac:dyDescent="0.35">
      <c r="B20" s="12" t="s">
        <v>43</v>
      </c>
      <c r="C20" s="4">
        <v>12</v>
      </c>
      <c r="E20" s="12" t="s">
        <v>52</v>
      </c>
      <c r="F20" s="4">
        <v>4</v>
      </c>
    </row>
    <row r="21" spans="2:6" x14ac:dyDescent="0.35">
      <c r="E21" s="12" t="s">
        <v>56</v>
      </c>
      <c r="F21" s="4">
        <v>2</v>
      </c>
    </row>
    <row r="22" spans="2:6" x14ac:dyDescent="0.35">
      <c r="E22" s="12" t="s">
        <v>54</v>
      </c>
      <c r="F22" s="4">
        <v>2</v>
      </c>
    </row>
    <row r="23" spans="2:6" x14ac:dyDescent="0.35">
      <c r="E23" s="12" t="s">
        <v>53</v>
      </c>
      <c r="F23" s="4">
        <v>3</v>
      </c>
    </row>
    <row r="24" spans="2:6" x14ac:dyDescent="0.35">
      <c r="E24" s="12" t="s">
        <v>43</v>
      </c>
      <c r="F24" s="4">
        <v>14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Survey_responses</vt:lpstr>
      <vt:lpstr>PivotChart</vt:lpstr>
      <vt:lpstr>Formatting_responses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Dania</cp:lastModifiedBy>
  <dcterms:created xsi:type="dcterms:W3CDTF">2026-04-10T23:28:57Z</dcterms:created>
  <dcterms:modified xsi:type="dcterms:W3CDTF">2026-04-11T02:23:48Z</dcterms:modified>
</cp:coreProperties>
</file>